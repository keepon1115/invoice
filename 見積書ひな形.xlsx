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80c63c5d6d1db5/デスクトップ/問合せ^0ロゴ/"/>
    </mc:Choice>
  </mc:AlternateContent>
  <xr:revisionPtr revIDLastSave="58" documentId="8_{BAF6BB08-FF00-43D5-AC4E-6CF910DE9E10}" xr6:coauthVersionLast="47" xr6:coauthVersionMax="47" xr10:uidLastSave="{430949E7-C4ED-4F29-B830-2067B7422103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7" i="1" l="1"/>
  <c r="W18" i="1"/>
  <c r="W16" i="1"/>
  <c r="W21" i="1" l="1"/>
  <c r="H11" i="1" s="1"/>
  <c r="V1" i="1"/>
</calcChain>
</file>

<file path=xl/sharedStrings.xml><?xml version="1.0" encoding="utf-8"?>
<sst xmlns="http://schemas.openxmlformats.org/spreadsheetml/2006/main" count="26" uniqueCount="26">
  <si>
    <t>備考</t>
    <rPh sb="0" eb="2">
      <t>ビコウ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</si>
  <si>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</si>
  <si>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</si>
  <si>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 xml:space="preserve">[ 摘 要 ] </t>
    <phoneticPr fontId="2"/>
  </si>
  <si>
    <t>TEL 072-928-6552      FAX 072-928-6561</t>
    <phoneticPr fontId="2"/>
  </si>
  <si>
    <t>金額</t>
    <rPh sb="0" eb="2">
      <t>キンガク</t>
    </rPh>
    <phoneticPr fontId="2"/>
  </si>
  <si>
    <t>名　　　称</t>
    <rPh sb="0" eb="1">
      <t>ナ</t>
    </rPh>
    <rPh sb="4" eb="5">
      <t>ショウ</t>
    </rPh>
    <phoneticPr fontId="2"/>
  </si>
  <si>
    <t>合計</t>
    <rPh sb="0" eb="2">
      <t>ゴウケイ</t>
    </rPh>
    <phoneticPr fontId="2"/>
  </si>
  <si>
    <t>御見積金額</t>
    <rPh sb="0" eb="3">
      <t>オミツモリ</t>
    </rPh>
    <rPh sb="3" eb="5">
      <t>キンガク</t>
    </rPh>
    <phoneticPr fontId="2"/>
  </si>
  <si>
    <r>
      <rPr>
        <sz val="14"/>
        <rFont val="ＭＳ 明朝"/>
        <family val="1"/>
        <charset val="128"/>
      </rPr>
      <t>キープオン株式会社</t>
    </r>
    <r>
      <rPr>
        <sz val="10"/>
        <rFont val="ＭＳ 明朝"/>
        <family val="1"/>
        <charset val="128"/>
      </rPr>
      <t>　　　　　　　　　　　　</t>
    </r>
    <r>
      <rPr>
        <sz val="11"/>
        <rFont val="ＭＳ 明朝"/>
        <family val="1"/>
        <charset val="128"/>
      </rPr>
      <t>〒581-0075大阪府八尾市渋川町5-5-33</t>
    </r>
    <rPh sb="30" eb="33">
      <t>オオサカフ</t>
    </rPh>
    <rPh sb="33" eb="36">
      <t>ヤオシ</t>
    </rPh>
    <rPh sb="36" eb="39">
      <t>シブカワチョウ</t>
    </rPh>
    <phoneticPr fontId="2"/>
  </si>
  <si>
    <t>納期</t>
    <rPh sb="0" eb="2">
      <t>ノウキ</t>
    </rPh>
    <phoneticPr fontId="2"/>
  </si>
  <si>
    <t>E-mail　clat2@keepon-web.com</t>
    <phoneticPr fontId="2"/>
  </si>
  <si>
    <t>支払条件</t>
    <phoneticPr fontId="2"/>
  </si>
  <si>
    <t>送料</t>
    <rPh sb="0" eb="2">
      <t>ソウリョウ</t>
    </rPh>
    <phoneticPr fontId="2"/>
  </si>
  <si>
    <t>楽天銀行　第二営業支店　支店番号252　普通　口座7303314 　キープオン(カ</t>
    <phoneticPr fontId="2"/>
  </si>
  <si>
    <t>税込み表示です。振込手数料はお客様ご負担です。</t>
    <rPh sb="0" eb="2">
      <t>ゼイコ</t>
    </rPh>
    <rPh sb="3" eb="5">
      <t>ヒョウジ</t>
    </rPh>
    <phoneticPr fontId="2"/>
  </si>
  <si>
    <t>無料</t>
    <rPh sb="0" eb="2">
      <t>ムリョウ</t>
    </rPh>
    <phoneticPr fontId="2"/>
  </si>
  <si>
    <t>見　積　書</t>
    <rPh sb="0" eb="1">
      <t>ミ</t>
    </rPh>
    <rPh sb="2" eb="3">
      <t>セキ</t>
    </rPh>
    <rPh sb="4" eb="5">
      <t>ショ</t>
    </rPh>
    <phoneticPr fontId="2"/>
  </si>
  <si>
    <t>下記のとおりお見積り申し上げます。
宜しくご検討賜りますようお願い申し上げます。</t>
    <rPh sb="0" eb="2">
      <t>カキ</t>
    </rPh>
    <rPh sb="7" eb="9">
      <t>ミツモ</t>
    </rPh>
    <rPh sb="10" eb="11">
      <t>モウ</t>
    </rPh>
    <rPh sb="12" eb="13">
      <t>ア</t>
    </rPh>
    <phoneticPr fontId="2"/>
  </si>
  <si>
    <t>特別お値引き</t>
    <rPh sb="0" eb="2">
      <t>トクベツ</t>
    </rPh>
    <rPh sb="3" eb="5">
      <t>ネビ</t>
    </rPh>
    <phoneticPr fontId="2"/>
  </si>
  <si>
    <t>銀行振込(あと払い)</t>
    <rPh sb="0" eb="4">
      <t>ギンコウフリコミ</t>
    </rPh>
    <rPh sb="7" eb="8">
      <t>ハラ</t>
    </rPh>
    <phoneticPr fontId="2"/>
  </si>
  <si>
    <t>約2-3週間</t>
    <rPh sb="0" eb="1">
      <t>ヤク</t>
    </rPh>
    <rPh sb="4" eb="6">
      <t>シュウカン</t>
    </rPh>
    <phoneticPr fontId="2"/>
  </si>
  <si>
    <t>作品収納バッグ 持ち手W 白</t>
    <rPh sb="0" eb="2">
      <t>サクヒン</t>
    </rPh>
    <rPh sb="2" eb="4">
      <t>シュウノウ</t>
    </rPh>
    <rPh sb="8" eb="9">
      <t>モ</t>
    </rPh>
    <rPh sb="10" eb="11">
      <t>テ</t>
    </rPh>
    <rPh sb="13" eb="14">
      <t>シロ</t>
    </rPh>
    <phoneticPr fontId="2"/>
  </si>
  <si>
    <t>つつじが丘小学校PTA 御中</t>
    <rPh sb="12" eb="14">
      <t>オンチュウ</t>
    </rPh>
    <phoneticPr fontId="2"/>
  </si>
  <si>
    <t>シルク1色印刷</t>
    <rPh sb="4" eb="7">
      <t>ショクインサツ</t>
    </rPh>
    <phoneticPr fontId="2"/>
  </si>
  <si>
    <t>版代</t>
    <rPh sb="0" eb="2">
      <t>ハンダイ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</si>
</sst>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&quot;円&quot;\ ;[Red]\-#,##0&quot;円&quot;\ "/>
    <numFmt numFmtId="177" formatCode="#,##0&quot;円)&quot;\ ;[Red]\-#,##0&quot;円)&quot;\ "/>
    <numFmt numFmtId="178" formatCode="&quot;¥&quot;#,##0\-;&quot;¥&quot;\-#,##0\-"/>
    <numFmt numFmtId="179" formatCode="0_);[Red]\(0\)"/>
    <numFmt numFmtId="180" formatCode="[$-F800]dddd\,\ mmmm\ dd\,\ yyyy"/>
  </numFmts>
  <fonts count="17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18"/>
      <name val="ＭＳ 明朝"/>
      <family val="1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16"/>
      <name val="ＭＳ 明朝"/>
      <family val="1"/>
      <charset val="128"/>
    </font>
    <font>
      <b/>
      <u/>
      <sz val="22"/>
      <name val="ＭＳ 明朝"/>
      <family val="1"/>
      <charset val="128"/>
    </font>
    <font>
      <b/>
      <sz val="22"/>
      <name val="ＭＳ 明朝"/>
      <family val="1"/>
      <charset val="128"/>
    </font>
    <font>
      <u/>
      <sz val="18"/>
      <name val="ＭＳ 明朝"/>
      <family val="1"/>
      <charset val="128"/>
    </font>
    <font>
      <u/>
      <sz val="11"/>
      <name val="ＭＳ 明朝"/>
      <family val="1"/>
      <charset val="128"/>
    </font>
    <font>
      <u/>
      <sz val="14"/>
      <name val="ＭＳ 明朝"/>
      <family val="1"/>
      <charset val="128"/>
    </font>
    <font>
      <u/>
      <sz val="16"/>
      <name val="ＭＳ 明朝"/>
      <family val="1"/>
      <charset val="128"/>
    </font>
    <font>
      <sz val="10"/>
      <name val="ＭＳ 明朝"/>
      <family val="1"/>
      <charset val="128"/>
    </font>
    <font>
      <sz val="20"/>
      <name val="ＭＳ 明朝"/>
      <family val="1"/>
      <charset val="128"/>
    </font>
    <font>
      <sz val="14"/>
      <color rgb="FFFF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3" fillId="0" borderId="3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>
      <alignment vertical="center"/>
    </xf>
    <xf numFmtId="0" fontId="3" fillId="0" borderId="0" xfId="0" applyFont="1" applyAlignment="1">
      <alignment horizontal="distributed" vertical="center"/>
    </xf>
    <xf numFmtId="176" fontId="3" fillId="0" borderId="0" xfId="1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14" fillId="0" borderId="11" xfId="0" applyFont="1" applyBorder="1">
      <alignment vertical="center"/>
    </xf>
    <xf numFmtId="0" fontId="14" fillId="0" borderId="0" xfId="0" applyFont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0" fillId="0" borderId="18" xfId="0" applyBorder="1">
      <alignment vertical="center"/>
    </xf>
    <xf numFmtId="0" fontId="10" fillId="0" borderId="0" xfId="0" applyFont="1" applyAlignment="1">
      <alignment horizontal="left" vertical="center"/>
    </xf>
    <xf numFmtId="0" fontId="5" fillId="0" borderId="1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4" xfId="0" applyBorder="1">
      <alignment vertical="center"/>
    </xf>
    <xf numFmtId="38" fontId="0" fillId="0" borderId="4" xfId="1" applyFont="1" applyBorder="1" applyAlignment="1">
      <alignment horizontal="right" vertical="center"/>
    </xf>
    <xf numFmtId="38" fontId="0" fillId="0" borderId="4" xfId="1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179" fontId="0" fillId="0" borderId="18" xfId="0" applyNumberFormat="1" applyBorder="1" applyAlignment="1">
      <alignment horizontal="right" vertical="center"/>
    </xf>
    <xf numFmtId="38" fontId="0" fillId="0" borderId="18" xfId="1" applyFont="1" applyBorder="1" applyAlignment="1">
      <alignment vertical="center"/>
    </xf>
    <xf numFmtId="0" fontId="0" fillId="0" borderId="24" xfId="0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0" fillId="0" borderId="20" xfId="0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21" xfId="1" applyFont="1" applyBorder="1" applyAlignment="1">
      <alignment horizontal="right" vertical="center"/>
    </xf>
    <xf numFmtId="38" fontId="0" fillId="0" borderId="23" xfId="1" applyFont="1" applyBorder="1" applyAlignment="1">
      <alignment horizontal="right" vertical="center"/>
    </xf>
    <xf numFmtId="38" fontId="16" fillId="0" borderId="20" xfId="1" applyFont="1" applyBorder="1" applyAlignment="1">
      <alignment horizontal="right" vertical="center"/>
    </xf>
    <xf numFmtId="38" fontId="16" fillId="0" borderId="21" xfId="1" applyFont="1" applyBorder="1" applyAlignment="1">
      <alignment horizontal="right" vertical="center"/>
    </xf>
    <xf numFmtId="38" fontId="16" fillId="0" borderId="23" xfId="1" applyFont="1" applyBorder="1" applyAlignment="1">
      <alignment horizontal="right" vertical="center"/>
    </xf>
    <xf numFmtId="180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distributed" vertical="center"/>
    </xf>
    <xf numFmtId="0" fontId="0" fillId="0" borderId="1" xfId="0" applyBorder="1" applyAlignment="1">
      <alignment horizontal="distributed" vertical="center"/>
    </xf>
    <xf numFmtId="178" fontId="15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0" fillId="0" borderId="0" xfId="0">
      <alignment vertical="center"/>
    </xf>
    <xf numFmtId="0" fontId="1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2" fillId="0" borderId="0" xfId="0" applyFont="1">
      <alignment vertical="center"/>
    </xf>
    <xf numFmtId="0" fontId="5" fillId="0" borderId="0" xfId="0" applyFont="1" applyAlignment="1">
      <alignment horizontal="distributed" vertical="center"/>
    </xf>
    <xf numFmtId="0" fontId="1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0" fillId="0" borderId="2" xfId="0" applyBorder="1">
      <alignment vertical="center"/>
    </xf>
    <xf numFmtId="177" fontId="3" fillId="0" borderId="0" xfId="1" applyNumberFormat="1" applyFont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8039</xdr:colOff>
      <xdr:row>4</xdr:row>
      <xdr:rowOff>180975</xdr:rowOff>
    </xdr:from>
    <xdr:to>
      <xdr:col>32</xdr:col>
      <xdr:colOff>495443</xdr:colOff>
      <xdr:row>7</xdr:row>
      <xdr:rowOff>243984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D39B7A7-9320-4A94-8B62-95F86C9BD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1214" y="6477000"/>
          <a:ext cx="868404" cy="8764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4"/>
  <sheetViews>
    <sheetView tabSelected="1" zoomScaleNormal="100" workbookViewId="0">
      <selection activeCell="A5" sqref="A5"/>
    </sheetView>
  </sheetViews>
  <sheetFormatPr defaultColWidth="2.6640625" defaultRowHeight="24.9" customHeight="1" x14ac:dyDescent="0.2"/>
  <cols>
    <col min="1" max="9" width="2.6640625" style="1"/>
    <col min="10" max="10" width="16.109375" style="1" bestFit="1" customWidth="1"/>
    <col min="11" max="12" width="2.6640625" style="1"/>
    <col min="13" max="13" width="3.21875" style="1" customWidth="1"/>
    <col min="14" max="15" width="2.6640625" style="1" hidden="1" customWidth="1"/>
    <col min="16" max="16" width="5.33203125" style="1" customWidth="1"/>
    <col min="17" max="17" width="2.6640625" style="1"/>
    <col min="18" max="18" width="2.88671875" style="1" customWidth="1"/>
    <col min="19" max="19" width="0.33203125" style="1" hidden="1" customWidth="1"/>
    <col min="20" max="20" width="2.6640625" style="1"/>
    <col min="21" max="21" width="4.21875" style="1" customWidth="1"/>
    <col min="22" max="22" width="1.6640625" style="1" customWidth="1"/>
    <col min="23" max="24" width="2.6640625" style="1"/>
    <col min="25" max="25" width="2.6640625" style="1" customWidth="1"/>
    <col min="26" max="26" width="2.109375" style="1" customWidth="1"/>
    <col min="27" max="27" width="2.33203125" style="1" hidden="1" customWidth="1"/>
    <col min="28" max="31" width="2.6640625" style="1"/>
    <col min="32" max="32" width="2.33203125" style="1" customWidth="1"/>
    <col min="33" max="33" width="8.33203125" style="1" customWidth="1"/>
    <col min="34" max="36" width="2.6640625" style="1"/>
    <col min="37" max="37" width="5.44140625" style="1" bestFit="1" customWidth="1"/>
    <col min="38" max="16384" width="2.6640625" style="1"/>
  </cols>
  <sheetData>
    <row r="1" spans="1:34" ht="16.2" x14ac:dyDescent="0.2">
      <c r="V1" s="49">
        <f ca="1">TODAY()</f>
        <v>46169</v>
      </c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</row>
    <row r="2" spans="1:34" ht="30.15" customHeight="1" x14ac:dyDescent="0.2">
      <c r="A2" s="50" t="s">
        <v>17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4"/>
    </row>
    <row r="3" spans="1:34" ht="22.5" customHeight="1" x14ac:dyDescent="0.2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4"/>
    </row>
    <row r="4" spans="1:34" ht="14.2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S4" s="62"/>
      <c r="T4" s="62"/>
      <c r="U4" s="62"/>
      <c r="V4" s="57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2"/>
    </row>
    <row r="5" spans="1:34" ht="24.9" customHeight="1" x14ac:dyDescent="0.2">
      <c r="A5" s="23" t="s">
        <v>23</v>
      </c>
      <c r="B5" s="11"/>
      <c r="C5" s="11"/>
      <c r="D5" s="11"/>
      <c r="E5" s="11"/>
      <c r="F5" s="11"/>
      <c r="G5" s="11"/>
      <c r="H5" s="11"/>
      <c r="I5" s="11"/>
      <c r="K5" s="11"/>
      <c r="L5" s="11"/>
      <c r="M5" s="11"/>
      <c r="N5" s="12"/>
      <c r="O5" s="12"/>
      <c r="P5" s="63" t="s">
        <v>9</v>
      </c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</row>
    <row r="6" spans="1:34" ht="19.5" customHeight="1" x14ac:dyDescent="0.2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10"/>
      <c r="O6" s="10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</row>
    <row r="7" spans="1:34" ht="20.25" customHeight="1" x14ac:dyDescent="0.2">
      <c r="P7" s="59" t="s">
        <v>4</v>
      </c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</row>
    <row r="8" spans="1:34" ht="24.9" customHeight="1" x14ac:dyDescent="0.2">
      <c r="A8" s="56" t="s">
        <v>18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P8" s="59" t="s">
        <v>11</v>
      </c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2"/>
    </row>
    <row r="9" spans="1:34" ht="18.75" customHeight="1" x14ac:dyDescent="0.2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/>
      <c r="N9"/>
      <c r="O9"/>
      <c r="P9"/>
      <c r="Q9"/>
      <c r="R9"/>
    </row>
    <row r="10" spans="1:34" ht="15" customHeight="1" x14ac:dyDescent="0.2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34" ht="30" customHeight="1" x14ac:dyDescent="0.2">
      <c r="A11" s="53" t="s">
        <v>8</v>
      </c>
      <c r="B11" s="53"/>
      <c r="C11" s="53"/>
      <c r="D11" s="53"/>
      <c r="E11" s="53"/>
      <c r="F11" s="53"/>
      <c r="G11" s="54"/>
      <c r="H11" s="55">
        <f>W21</f>
        <v>205200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</row>
    <row r="12" spans="1:34" ht="30" customHeight="1" x14ac:dyDescent="0.2">
      <c r="A12" s="67" t="s">
        <v>12</v>
      </c>
      <c r="B12" s="67"/>
      <c r="C12" s="67"/>
      <c r="D12" s="67"/>
      <c r="E12" s="67"/>
      <c r="F12" s="67"/>
      <c r="G12" s="68"/>
      <c r="H12" s="64" t="s">
        <v>20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</row>
    <row r="13" spans="1:34" ht="30" customHeight="1" x14ac:dyDescent="0.2">
      <c r="A13" s="67" t="s">
        <v>10</v>
      </c>
      <c r="B13" s="67"/>
      <c r="C13" s="67"/>
      <c r="D13" s="67"/>
      <c r="E13" s="67"/>
      <c r="F13" s="67"/>
      <c r="G13" s="68"/>
      <c r="H13" s="64" t="s">
        <v>21</v>
      </c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2"/>
      <c r="V13" s="6"/>
      <c r="W13" s="7"/>
      <c r="X13" s="69"/>
      <c r="Y13" s="69"/>
      <c r="Z13" s="69"/>
      <c r="AA13" s="69"/>
      <c r="AB13" s="69"/>
      <c r="AC13" s="69"/>
      <c r="AD13" s="69"/>
      <c r="AG13" s="2"/>
    </row>
    <row r="14" spans="1:34" ht="15" customHeight="1" thickBot="1" x14ac:dyDescent="0.25"/>
    <row r="15" spans="1:34" ht="24.9" customHeight="1" x14ac:dyDescent="0.2">
      <c r="A15" s="70" t="s">
        <v>6</v>
      </c>
      <c r="B15" s="65"/>
      <c r="C15" s="65"/>
      <c r="D15" s="65"/>
      <c r="E15" s="65"/>
      <c r="F15" s="65"/>
      <c r="G15" s="65"/>
      <c r="H15" s="65"/>
      <c r="I15" s="65"/>
      <c r="J15" s="65"/>
      <c r="K15" s="71"/>
      <c r="L15" s="71"/>
      <c r="M15" s="71"/>
      <c r="N15" s="71"/>
      <c r="O15" s="71"/>
      <c r="P15" s="71"/>
      <c r="Q15" s="65" t="s">
        <v>1</v>
      </c>
      <c r="R15" s="65"/>
      <c r="S15" s="65"/>
      <c r="T15" s="65" t="s">
        <v>2</v>
      </c>
      <c r="U15" s="65"/>
      <c r="V15" s="65"/>
      <c r="W15" s="71" t="s">
        <v>5</v>
      </c>
      <c r="X15" s="65"/>
      <c r="Y15" s="65"/>
      <c r="Z15" s="65"/>
      <c r="AA15" s="65"/>
      <c r="AB15" s="65" t="s">
        <v>0</v>
      </c>
      <c r="AC15" s="65"/>
      <c r="AD15" s="65"/>
      <c r="AE15" s="65"/>
      <c r="AF15" s="65"/>
      <c r="AG15" s="66"/>
    </row>
    <row r="16" spans="1:34" ht="36" customHeight="1" x14ac:dyDescent="0.2">
      <c r="A16" s="24" t="s">
        <v>22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>
        <v>630</v>
      </c>
      <c r="R16" s="26"/>
      <c r="S16" s="26"/>
      <c r="T16" s="27">
        <v>130</v>
      </c>
      <c r="U16" s="27"/>
      <c r="V16" s="27"/>
      <c r="W16" s="28">
        <f>Q16*T16</f>
        <v>81900</v>
      </c>
      <c r="X16" s="28"/>
      <c r="Y16" s="28"/>
      <c r="Z16" s="28"/>
      <c r="AA16" s="28"/>
      <c r="AB16" s="29"/>
      <c r="AC16" s="29"/>
      <c r="AD16" s="29"/>
      <c r="AE16" s="29"/>
      <c r="AF16" s="29"/>
      <c r="AG16" s="30"/>
    </row>
    <row r="17" spans="1:33" ht="36" customHeight="1" x14ac:dyDescent="0.2">
      <c r="A17" s="24" t="s">
        <v>24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6">
        <v>630</v>
      </c>
      <c r="R17" s="26"/>
      <c r="S17" s="26"/>
      <c r="T17" s="27">
        <v>200</v>
      </c>
      <c r="U17" s="27"/>
      <c r="V17" s="27"/>
      <c r="W17" s="28">
        <f>Q17*T17</f>
        <v>126000</v>
      </c>
      <c r="X17" s="28"/>
      <c r="Y17" s="28"/>
      <c r="Z17" s="28"/>
      <c r="AA17" s="28"/>
      <c r="AB17" s="29"/>
      <c r="AC17" s="29"/>
      <c r="AD17" s="29"/>
      <c r="AE17" s="29"/>
      <c r="AF17" s="29"/>
      <c r="AG17" s="30"/>
    </row>
    <row r="18" spans="1:33" ht="36" customHeight="1" x14ac:dyDescent="0.2">
      <c r="A18" s="24" t="s">
        <v>25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>
        <v>1</v>
      </c>
      <c r="R18" s="26"/>
      <c r="S18" s="26"/>
      <c r="T18" s="27">
        <v>20000</v>
      </c>
      <c r="U18" s="27"/>
      <c r="V18" s="27"/>
      <c r="W18" s="28">
        <f>Q18*T18</f>
        <v>20000</v>
      </c>
      <c r="X18" s="28"/>
      <c r="Y18" s="28"/>
      <c r="Z18" s="28"/>
      <c r="AA18" s="28"/>
      <c r="AB18" s="29"/>
      <c r="AC18" s="29"/>
      <c r="AD18" s="29"/>
      <c r="AE18" s="29"/>
      <c r="AF18" s="29"/>
      <c r="AG18" s="30"/>
    </row>
    <row r="19" spans="1:33" ht="36" customHeight="1" x14ac:dyDescent="0.2">
      <c r="A19" s="72" t="s">
        <v>19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26"/>
      <c r="R19" s="26"/>
      <c r="S19" s="26"/>
      <c r="T19" s="27"/>
      <c r="U19" s="27"/>
      <c r="V19" s="27"/>
      <c r="W19" s="28">
        <v>-22700</v>
      </c>
      <c r="X19" s="28"/>
      <c r="Y19" s="28"/>
      <c r="Z19" s="28"/>
      <c r="AA19" s="28"/>
      <c r="AB19" s="29"/>
      <c r="AC19" s="29"/>
      <c r="AD19" s="29"/>
      <c r="AE19" s="29"/>
      <c r="AF19" s="29"/>
      <c r="AG19" s="30"/>
    </row>
    <row r="20" spans="1:33" ht="36" customHeight="1" thickBot="1" x14ac:dyDescent="0.25">
      <c r="A20" s="39" t="s">
        <v>13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  <c r="Q20" s="42"/>
      <c r="R20" s="40"/>
      <c r="S20" s="41"/>
      <c r="T20" s="43"/>
      <c r="U20" s="44"/>
      <c r="V20" s="45"/>
      <c r="W20" s="46" t="s">
        <v>16</v>
      </c>
      <c r="X20" s="47"/>
      <c r="Y20" s="47"/>
      <c r="Z20" s="47"/>
      <c r="AA20" s="48"/>
      <c r="AB20" s="31"/>
      <c r="AC20" s="32"/>
      <c r="AD20" s="32"/>
      <c r="AE20" s="32"/>
      <c r="AF20" s="32"/>
      <c r="AG20" s="33"/>
    </row>
    <row r="21" spans="1:33" ht="36" customHeight="1" thickTop="1" x14ac:dyDescent="0.2">
      <c r="A21" s="35" t="s">
        <v>7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7"/>
      <c r="U21" s="37"/>
      <c r="V21" s="37"/>
      <c r="W21" s="38">
        <f>SUM(W16:Z20)</f>
        <v>205200</v>
      </c>
      <c r="X21" s="38"/>
      <c r="Y21" s="38"/>
      <c r="Z21" s="38"/>
      <c r="AA21" s="22"/>
      <c r="AB21" s="34"/>
      <c r="AC21" s="34"/>
      <c r="AD21" s="34"/>
      <c r="AE21" s="34"/>
      <c r="AF21" s="34"/>
      <c r="AG21" s="36"/>
    </row>
    <row r="22" spans="1:33" ht="24.9" customHeight="1" x14ac:dyDescent="0.2">
      <c r="A22" s="13" t="s">
        <v>3</v>
      </c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14"/>
    </row>
    <row r="23" spans="1:33" ht="24.9" customHeight="1" x14ac:dyDescent="0.2">
      <c r="A23" s="20"/>
      <c r="B23" s="1" t="s">
        <v>15</v>
      </c>
      <c r="F23" s="19"/>
      <c r="AG23" s="21"/>
    </row>
    <row r="24" spans="1:33" ht="24.9" customHeight="1" thickBot="1" x14ac:dyDescent="0.25">
      <c r="A24" s="15"/>
      <c r="B24" s="16" t="s">
        <v>14</v>
      </c>
      <c r="C24" s="16"/>
      <c r="D24" s="16"/>
      <c r="E24" s="16"/>
      <c r="F24" s="18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7"/>
    </row>
  </sheetData>
  <mergeCells count="52">
    <mergeCell ref="A17:P17"/>
    <mergeCell ref="Q17:S17"/>
    <mergeCell ref="T17:V17"/>
    <mergeCell ref="W17:AA17"/>
    <mergeCell ref="AB17:AG17"/>
    <mergeCell ref="A19:P19"/>
    <mergeCell ref="Q19:S19"/>
    <mergeCell ref="T19:V19"/>
    <mergeCell ref="W19:AA19"/>
    <mergeCell ref="AB19:AG19"/>
    <mergeCell ref="H12:T12"/>
    <mergeCell ref="AB15:AG15"/>
    <mergeCell ref="T16:V16"/>
    <mergeCell ref="W16:AA16"/>
    <mergeCell ref="AB16:AG16"/>
    <mergeCell ref="A16:P16"/>
    <mergeCell ref="Q16:S16"/>
    <mergeCell ref="A13:G13"/>
    <mergeCell ref="A12:G12"/>
    <mergeCell ref="X13:AD13"/>
    <mergeCell ref="A15:P15"/>
    <mergeCell ref="Q15:S15"/>
    <mergeCell ref="T15:V15"/>
    <mergeCell ref="H13:T13"/>
    <mergeCell ref="W15:AA15"/>
    <mergeCell ref="V1:AG1"/>
    <mergeCell ref="A2:AG2"/>
    <mergeCell ref="A6:M6"/>
    <mergeCell ref="A11:G11"/>
    <mergeCell ref="H11:T11"/>
    <mergeCell ref="A8:L9"/>
    <mergeCell ref="V4:AG4"/>
    <mergeCell ref="P8:AD8"/>
    <mergeCell ref="A4:P4"/>
    <mergeCell ref="S4:U4"/>
    <mergeCell ref="P5:AF6"/>
    <mergeCell ref="P7:AF7"/>
    <mergeCell ref="AB20:AG20"/>
    <mergeCell ref="Q21:S21"/>
    <mergeCell ref="A21:P21"/>
    <mergeCell ref="AB21:AG21"/>
    <mergeCell ref="T21:V21"/>
    <mergeCell ref="W21:Z21"/>
    <mergeCell ref="A20:P20"/>
    <mergeCell ref="Q20:S20"/>
    <mergeCell ref="T20:V20"/>
    <mergeCell ref="W20:AA20"/>
    <mergeCell ref="A18:P18"/>
    <mergeCell ref="Q18:S18"/>
    <mergeCell ref="T18:V18"/>
    <mergeCell ref="W18:AA18"/>
    <mergeCell ref="AB18:AG18"/>
  </mergeCells>
  <phoneticPr fontId="2"/>
  <dataValidations count="2">
    <dataValidation imeMode="off" allowBlank="1" showInputMessage="1" showErrorMessage="1" sqref="H11:T11 W13:AD13 W16:AA20 Q16:S21" xr:uid="{00000000-0002-0000-0000-000000000000}"/>
    <dataValidation imeMode="on" allowBlank="1" showInputMessage="1" showErrorMessage="1" sqref="Q4 P5 V4 A4:A6 H12:H13 B4:O4 A5:I5 K5:M5 T16:T21 AB16:AG21 A16:J21" xr:uid="{00000000-0002-0000-0000-000001000000}"/>
  </dataValidations>
  <pageMargins left="0.25" right="0.25" top="0.75" bottom="0.75" header="0.3" footer="0.3"/>
  <pageSetup paperSize="11" scale="6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kawahara</dc:creator>
  <cp:lastModifiedBy>kawahara shoichiro</cp:lastModifiedBy>
  <cp:lastPrinted>2026-05-27T12:47:25Z</cp:lastPrinted>
  <dcterms:created xsi:type="dcterms:W3CDTF">2010-09-12T02:40:12Z</dcterms:created>
  <dcterms:modified xsi:type="dcterms:W3CDTF">2026-05-27T12:47:30Z</dcterms:modified>
</cp:coreProperties>
</file>