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180c63c5d6d1db5/デスクトップ/問合せ^0ロゴ/"/>
    </mc:Choice>
  </mc:AlternateContent>
  <xr:revisionPtr revIDLastSave="28" documentId="8_{44C1B385-4585-402F-AB26-B0E72880FCF9}" xr6:coauthVersionLast="47" xr6:coauthVersionMax="47" xr10:uidLastSave="{254654CF-2F54-40E1-8F5E-8852C258405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Sheet1!$A$1:$AG$19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6" i="1" l="1"/>
  <c r="W18" i="1" l="1"/>
  <c r="H11" i="1" s="1"/>
  <c r="V1" i="1"/>
</calcChain>
</file>

<file path=xl/sharedStrings.xml><?xml version="1.0" encoding="utf-8"?>
<sst xmlns="http://schemas.openxmlformats.org/spreadsheetml/2006/main" count="23" uniqueCount="23">
  <si>
    <t>備考</t>
    <rPh sb="0" eb="2">
      <t>ビコウ</t>
    </rPh>
    <phoneticPr fontId="2"/>
  </si>
  <si>
    <t>数量</t>
    <rPh sb="0" eb="2">
      <t>スウリョウ</t>
    </rPh>
    <phoneticPr fontId="2"/>
  </si>
  <si>
    <t>単価</t>
    <rPh sb="0" eb="2">
      <t>タンカ</t>
    </rPh>
    <phoneticPr fontId="2"/>
  </si>
  <si>
    <t xml:space="preserve">[ 摘 要 ] </t>
    <phoneticPr fontId="2"/>
  </si>
  <si>
    <t>TEL 072-928-6552      FAX 072-928-6561</t>
    <phoneticPr fontId="2"/>
  </si>
  <si>
    <t>金額</t>
    <rPh sb="0" eb="2">
      <t>キンガク</t>
    </rPh>
    <phoneticPr fontId="2"/>
  </si>
  <si>
    <t>名　　　称</t>
    <rPh sb="0" eb="1">
      <t>ナ</t>
    </rPh>
    <rPh sb="4" eb="5">
      <t>ショウ</t>
    </rPh>
    <phoneticPr fontId="2"/>
  </si>
  <si>
    <t>合計</t>
    <rPh sb="0" eb="2">
      <t>ゴウケイ</t>
    </rPh>
    <phoneticPr fontId="2"/>
  </si>
  <si>
    <t>御見積金額</t>
    <rPh sb="0" eb="3">
      <t>オミツモリ</t>
    </rPh>
    <rPh sb="3" eb="5">
      <t>キンガク</t>
    </rPh>
    <phoneticPr fontId="2"/>
  </si>
  <si>
    <r>
      <rPr>
        <sz val="14"/>
        <rFont val="ＭＳ 明朝"/>
        <family val="1"/>
        <charset val="128"/>
      </rPr>
      <t>キープオン株式会社</t>
    </r>
    <r>
      <rPr>
        <sz val="10"/>
        <rFont val="ＭＳ 明朝"/>
        <family val="1"/>
        <charset val="128"/>
      </rPr>
      <t>　　　　　　　　　　　　</t>
    </r>
    <r>
      <rPr>
        <sz val="11"/>
        <rFont val="ＭＳ 明朝"/>
        <family val="1"/>
        <charset val="128"/>
      </rPr>
      <t>〒581-0075大阪府八尾市渋川町5-5-33</t>
    </r>
    <rPh sb="30" eb="33">
      <t>オオサカフ</t>
    </rPh>
    <rPh sb="33" eb="36">
      <t>ヤオシ</t>
    </rPh>
    <rPh sb="36" eb="39">
      <t>シブカワチョウ</t>
    </rPh>
    <phoneticPr fontId="2"/>
  </si>
  <si>
    <t>納期</t>
    <rPh sb="0" eb="2">
      <t>ノウキ</t>
    </rPh>
    <phoneticPr fontId="2"/>
  </si>
  <si>
    <t>E-mail　clat2@keepon-web.com</t>
    <phoneticPr fontId="2"/>
  </si>
  <si>
    <t>支払条件</t>
    <phoneticPr fontId="2"/>
  </si>
  <si>
    <t>送料</t>
    <rPh sb="0" eb="2">
      <t>ソウリョウ</t>
    </rPh>
    <phoneticPr fontId="2"/>
  </si>
  <si>
    <t>楽天銀行　第二営業支店　支店番号252　普通　口座7303314 　キープオン(カ</t>
    <phoneticPr fontId="2"/>
  </si>
  <si>
    <t>税込み表示です。振込手数料はお客様ご負担です。</t>
    <rPh sb="0" eb="2">
      <t>ゼイコ</t>
    </rPh>
    <rPh sb="3" eb="5">
      <t>ヒョウジ</t>
    </rPh>
    <phoneticPr fontId="2"/>
  </si>
  <si>
    <t>無料</t>
    <rPh sb="0" eb="2">
      <t>ムリョウ</t>
    </rPh>
    <phoneticPr fontId="2"/>
  </si>
  <si>
    <t>下記のとおりお見積り申し上げます。
宜しくご検討賜りますようお願い申し上げます。</t>
    <rPh sb="0" eb="2">
      <t>カキ</t>
    </rPh>
    <rPh sb="7" eb="9">
      <t>ミツモ</t>
    </rPh>
    <rPh sb="10" eb="11">
      <t>モウ</t>
    </rPh>
    <rPh sb="12" eb="13">
      <t>ア</t>
    </rPh>
    <phoneticPr fontId="2"/>
  </si>
  <si>
    <t>銀行振込(あと払い)</t>
    <rPh sb="0" eb="4">
      <t>ギンコウフリコミ</t>
    </rPh>
    <rPh sb="7" eb="8">
      <t>ハラ</t>
    </rPh>
    <phoneticPr fontId="2"/>
  </si>
  <si>
    <t>ご注文後約1~2週間</t>
    <rPh sb="1" eb="4">
      <t>チュウモンゴ</t>
    </rPh>
    <rPh sb="4" eb="5">
      <t>ヤク</t>
    </rPh>
    <rPh sb="8" eb="10">
      <t>シュウカン</t>
    </rPh>
    <phoneticPr fontId="2"/>
  </si>
  <si>
    <t>カラーはちまき</t>
    <phoneticPr fontId="2"/>
  </si>
  <si>
    <t>請　求　書</t>
    <rPh sb="0" eb="1">
      <t>ショウ</t>
    </rPh>
    <rPh sb="2" eb="3">
      <t>モトム</t>
    </rPh>
    <rPh sb="4" eb="5">
      <t>ショ</t>
    </rPh>
    <phoneticPr fontId="2"/>
  </si>
  <si>
    <t>浦和第一女子高等学校 3学年 御中</t>
    <rPh sb="0" eb="2">
      <t>ウラワ</t>
    </rPh>
    <rPh sb="2" eb="4">
      <t>ダイイチ</t>
    </rPh>
    <rPh sb="4" eb="6">
      <t>ジョシ</t>
    </rPh>
    <rPh sb="6" eb="8">
      <t>コウトウ</t>
    </rPh>
    <rPh sb="8" eb="10">
      <t>ガッコウ</t>
    </rPh>
    <rPh sb="15" eb="17">
      <t>オンチュウ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</si>
</sst>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&quot;円&quot;\ ;[Red]\-#,##0&quot;円&quot;\ "/>
    <numFmt numFmtId="177" formatCode="#,##0&quot;円)&quot;\ ;[Red]\-#,##0&quot;円)&quot;\ "/>
    <numFmt numFmtId="178" formatCode="&quot;¥&quot;#,##0\-;&quot;¥&quot;\-#,##0\-"/>
    <numFmt numFmtId="179" formatCode="0_);[Red]\(0\)"/>
    <numFmt numFmtId="180" formatCode="[$-F800]dddd\,\ mmmm\ dd\,\ yyyy"/>
  </numFmts>
  <fonts count="18" x14ac:knownFonts="1">
    <font>
      <sz val="11"/>
      <name val="ＭＳ 明朝"/>
      <family val="1"/>
      <charset val="128"/>
    </font>
    <font>
      <sz val="11"/>
      <name val="ＭＳ 明朝"/>
      <family val="1"/>
      <charset val="128"/>
    </font>
    <font>
      <sz val="6"/>
      <name val="ＭＳ 明朝"/>
      <family val="1"/>
      <charset val="128"/>
    </font>
    <font>
      <sz val="12"/>
      <name val="ＭＳ 明朝"/>
      <family val="1"/>
      <charset val="128"/>
    </font>
    <font>
      <sz val="18"/>
      <name val="ＭＳ 明朝"/>
      <family val="1"/>
      <charset val="128"/>
    </font>
    <font>
      <sz val="9"/>
      <name val="ＭＳ 明朝"/>
      <family val="1"/>
      <charset val="128"/>
    </font>
    <font>
      <sz val="14"/>
      <name val="ＭＳ 明朝"/>
      <family val="1"/>
      <charset val="128"/>
    </font>
    <font>
      <sz val="16"/>
      <name val="ＭＳ 明朝"/>
      <family val="1"/>
      <charset val="128"/>
    </font>
    <font>
      <b/>
      <u/>
      <sz val="22"/>
      <name val="ＭＳ 明朝"/>
      <family val="1"/>
      <charset val="128"/>
    </font>
    <font>
      <b/>
      <sz val="22"/>
      <name val="ＭＳ 明朝"/>
      <family val="1"/>
      <charset val="128"/>
    </font>
    <font>
      <u/>
      <sz val="18"/>
      <name val="ＭＳ 明朝"/>
      <family val="1"/>
      <charset val="128"/>
    </font>
    <font>
      <u/>
      <sz val="11"/>
      <name val="ＭＳ 明朝"/>
      <family val="1"/>
      <charset val="128"/>
    </font>
    <font>
      <u/>
      <sz val="14"/>
      <name val="ＭＳ 明朝"/>
      <family val="1"/>
      <charset val="128"/>
    </font>
    <font>
      <u/>
      <sz val="16"/>
      <name val="ＭＳ 明朝"/>
      <family val="1"/>
      <charset val="128"/>
    </font>
    <font>
      <sz val="10"/>
      <name val="ＭＳ 明朝"/>
      <family val="1"/>
      <charset val="128"/>
    </font>
    <font>
      <sz val="20"/>
      <name val="ＭＳ 明朝"/>
      <family val="1"/>
      <charset val="128"/>
    </font>
    <font>
      <sz val="14"/>
      <color rgb="FFFF0000"/>
      <name val="ＭＳ 明朝"/>
      <family val="1"/>
      <charset val="128"/>
    </font>
    <font>
      <u/>
      <sz val="12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3" fillId="0" borderId="0" xfId="0" applyFont="1">
      <alignment vertical="center"/>
    </xf>
    <xf numFmtId="0" fontId="1" fillId="0" borderId="0" xfId="0" applyFont="1">
      <alignment vertical="center"/>
    </xf>
    <xf numFmtId="0" fontId="3" fillId="0" borderId="3" xfId="0" applyFont="1" applyBorder="1">
      <alignment vertical="center"/>
    </xf>
    <xf numFmtId="0" fontId="4" fillId="0" borderId="0" xfId="0" applyFont="1" applyAlignment="1">
      <alignment horizontal="center" vertical="center"/>
    </xf>
    <xf numFmtId="0" fontId="1" fillId="0" borderId="3" xfId="0" applyFont="1" applyBorder="1">
      <alignment vertical="center"/>
    </xf>
    <xf numFmtId="0" fontId="3" fillId="0" borderId="0" xfId="0" applyFont="1" applyAlignment="1">
      <alignment horizontal="distributed" vertical="center"/>
    </xf>
    <xf numFmtId="176" fontId="3" fillId="0" borderId="0" xfId="1" applyNumberFormat="1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3" fillId="0" borderId="8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10" xfId="0" applyFont="1" applyBorder="1">
      <alignment vertical="center"/>
    </xf>
    <xf numFmtId="0" fontId="3" fillId="0" borderId="11" xfId="0" applyFont="1" applyBorder="1">
      <alignment vertical="center"/>
    </xf>
    <xf numFmtId="0" fontId="3" fillId="0" borderId="12" xfId="0" applyFont="1" applyBorder="1">
      <alignment vertical="center"/>
    </xf>
    <xf numFmtId="0" fontId="14" fillId="0" borderId="11" xfId="0" applyFont="1" applyBorder="1">
      <alignment vertical="center"/>
    </xf>
    <xf numFmtId="0" fontId="14" fillId="0" borderId="0" xfId="0" applyFont="1">
      <alignment vertical="center"/>
    </xf>
    <xf numFmtId="0" fontId="3" fillId="0" borderId="13" xfId="0" applyFont="1" applyBorder="1">
      <alignment vertical="center"/>
    </xf>
    <xf numFmtId="0" fontId="3" fillId="0" borderId="14" xfId="0" applyFont="1" applyBorder="1">
      <alignment vertical="center"/>
    </xf>
    <xf numFmtId="0" fontId="0" fillId="0" borderId="18" xfId="0" applyBorder="1">
      <alignment vertical="center"/>
    </xf>
    <xf numFmtId="0" fontId="17" fillId="0" borderId="0" xfId="0" applyFont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distributed" vertical="center"/>
    </xf>
    <xf numFmtId="0" fontId="0" fillId="0" borderId="2" xfId="0" applyBorder="1">
      <alignment vertical="center"/>
    </xf>
    <xf numFmtId="177" fontId="3" fillId="0" borderId="0" xfId="1" applyNumberFormat="1" applyFont="1" applyBorder="1" applyAlignment="1">
      <alignment vertical="center"/>
    </xf>
    <xf numFmtId="0" fontId="0" fillId="2" borderId="15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80" fontId="6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distributed" vertical="center"/>
    </xf>
    <xf numFmtId="0" fontId="0" fillId="0" borderId="1" xfId="0" applyBorder="1" applyAlignment="1">
      <alignment horizontal="distributed" vertical="center"/>
    </xf>
    <xf numFmtId="178" fontId="15" fillId="0" borderId="1" xfId="0" applyNumberFormat="1" applyFont="1" applyBorder="1" applyAlignment="1">
      <alignment horizontal="center" vertical="center"/>
    </xf>
    <xf numFmtId="0" fontId="14" fillId="0" borderId="0" xfId="0" applyFont="1" applyAlignment="1">
      <alignment horizontal="left" vertical="top" wrapText="1"/>
    </xf>
    <xf numFmtId="0" fontId="7" fillId="0" borderId="0" xfId="0" applyFont="1">
      <alignment vertical="center"/>
    </xf>
    <xf numFmtId="0" fontId="0" fillId="0" borderId="0" xfId="0">
      <alignment vertical="center"/>
    </xf>
    <xf numFmtId="0" fontId="14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12" fillId="0" borderId="0" xfId="0" applyFont="1">
      <alignment vertical="center"/>
    </xf>
    <xf numFmtId="0" fontId="5" fillId="0" borderId="0" xfId="0" applyFont="1" applyAlignment="1">
      <alignment horizontal="distributed" vertical="center"/>
    </xf>
    <xf numFmtId="0" fontId="14" fillId="0" borderId="0" xfId="0" applyFont="1" applyAlignment="1">
      <alignment horizontal="left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0" fillId="0" borderId="18" xfId="0" applyBorder="1">
      <alignment vertical="center"/>
    </xf>
    <xf numFmtId="0" fontId="0" fillId="0" borderId="17" xfId="0" applyBorder="1">
      <alignment vertical="center"/>
    </xf>
    <xf numFmtId="0" fontId="0" fillId="0" borderId="19" xfId="0" applyBorder="1">
      <alignment vertical="center"/>
    </xf>
    <xf numFmtId="179" fontId="0" fillId="0" borderId="18" xfId="0" applyNumberFormat="1" applyBorder="1" applyAlignment="1">
      <alignment horizontal="right" vertical="center"/>
    </xf>
    <xf numFmtId="38" fontId="0" fillId="0" borderId="18" xfId="1" applyFont="1" applyBorder="1" applyAlignment="1">
      <alignment vertical="center"/>
    </xf>
    <xf numFmtId="0" fontId="0" fillId="0" borderId="24" xfId="0" applyBorder="1">
      <alignment vertical="center"/>
    </xf>
    <xf numFmtId="0" fontId="0" fillId="0" borderId="21" xfId="0" applyBorder="1">
      <alignment vertical="center"/>
    </xf>
    <xf numFmtId="0" fontId="0" fillId="0" borderId="23" xfId="0" applyBorder="1">
      <alignment vertical="center"/>
    </xf>
    <xf numFmtId="0" fontId="0" fillId="0" borderId="20" xfId="0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21" xfId="1" applyFont="1" applyBorder="1" applyAlignment="1">
      <alignment horizontal="right" vertical="center"/>
    </xf>
    <xf numFmtId="38" fontId="0" fillId="0" borderId="23" xfId="1" applyFont="1" applyBorder="1" applyAlignment="1">
      <alignment horizontal="right" vertical="center"/>
    </xf>
    <xf numFmtId="38" fontId="16" fillId="0" borderId="20" xfId="1" applyFont="1" applyBorder="1" applyAlignment="1">
      <alignment horizontal="right" vertical="center"/>
    </xf>
    <xf numFmtId="38" fontId="16" fillId="0" borderId="21" xfId="1" applyFont="1" applyBorder="1" applyAlignment="1">
      <alignment horizontal="right" vertical="center"/>
    </xf>
    <xf numFmtId="38" fontId="16" fillId="0" borderId="23" xfId="1" applyFont="1" applyBorder="1" applyAlignment="1">
      <alignment horizontal="right" vertical="center"/>
    </xf>
    <xf numFmtId="0" fontId="5" fillId="0" borderId="16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0" fillId="0" borderId="4" xfId="0" applyBorder="1">
      <alignment vertical="center"/>
    </xf>
    <xf numFmtId="38" fontId="0" fillId="0" borderId="4" xfId="1" applyFont="1" applyBorder="1" applyAlignment="1">
      <alignment horizontal="right" vertical="center"/>
    </xf>
    <xf numFmtId="38" fontId="0" fillId="0" borderId="4" xfId="1" applyFont="1" applyBorder="1" applyAlignment="1">
      <alignment vertical="center"/>
    </xf>
    <xf numFmtId="0" fontId="5" fillId="0" borderId="4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8039</xdr:colOff>
      <xdr:row>4</xdr:row>
      <xdr:rowOff>180975</xdr:rowOff>
    </xdr:from>
    <xdr:to>
      <xdr:col>32</xdr:col>
      <xdr:colOff>495443</xdr:colOff>
      <xdr:row>7</xdr:row>
      <xdr:rowOff>243984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D39B7A7-9320-4A94-8B62-95F86C9BD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61214" y="6477000"/>
          <a:ext cx="868404" cy="87644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21"/>
  <sheetViews>
    <sheetView tabSelected="1" zoomScaleNormal="100" workbookViewId="0">
      <selection activeCell="AH22" sqref="A1:AH22"/>
    </sheetView>
  </sheetViews>
  <sheetFormatPr defaultColWidth="2.6640625" defaultRowHeight="24.9" customHeight="1" x14ac:dyDescent="0.2"/>
  <cols>
    <col min="1" max="9" width="2.6640625" style="1"/>
    <col min="10" max="10" width="16.109375" style="1" bestFit="1" customWidth="1"/>
    <col min="11" max="12" width="2.6640625" style="1"/>
    <col min="13" max="13" width="3.21875" style="1" customWidth="1"/>
    <col min="14" max="15" width="2.6640625" style="1" hidden="1" customWidth="1"/>
    <col min="16" max="16" width="5.33203125" style="1" customWidth="1"/>
    <col min="17" max="17" width="2.6640625" style="1"/>
    <col min="18" max="18" width="2.88671875" style="1" customWidth="1"/>
    <col min="19" max="19" width="0.33203125" style="1" hidden="1" customWidth="1"/>
    <col min="20" max="20" width="2.6640625" style="1"/>
    <col min="21" max="21" width="4.21875" style="1" customWidth="1"/>
    <col min="22" max="22" width="1.6640625" style="1" customWidth="1"/>
    <col min="23" max="23" width="5" style="1" bestFit="1" customWidth="1"/>
    <col min="24" max="24" width="2.6640625" style="1"/>
    <col min="25" max="25" width="2.6640625" style="1" customWidth="1"/>
    <col min="26" max="26" width="2.109375" style="1" customWidth="1"/>
    <col min="27" max="27" width="2.33203125" style="1" hidden="1" customWidth="1"/>
    <col min="28" max="31" width="2.6640625" style="1"/>
    <col min="32" max="32" width="2.33203125" style="1" customWidth="1"/>
    <col min="33" max="33" width="8.33203125" style="1" customWidth="1"/>
    <col min="34" max="36" width="2.6640625" style="1"/>
    <col min="37" max="37" width="9.44140625" style="1" bestFit="1" customWidth="1"/>
    <col min="38" max="16384" width="2.6640625" style="1"/>
  </cols>
  <sheetData>
    <row r="1" spans="1:34" ht="16.2" x14ac:dyDescent="0.2">
      <c r="V1" s="32">
        <f ca="1">TODAY()</f>
        <v>46156</v>
      </c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</row>
    <row r="2" spans="1:34" ht="30.15" customHeight="1" x14ac:dyDescent="0.2">
      <c r="A2" s="33" t="s">
        <v>21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4"/>
    </row>
    <row r="3" spans="1:34" ht="22.5" customHeight="1" x14ac:dyDescent="0.2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4"/>
    </row>
    <row r="4" spans="1:34" ht="14.25" customHeight="1" x14ac:dyDescent="0.2">
      <c r="A4" s="43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S4" s="45"/>
      <c r="T4" s="45"/>
      <c r="U4" s="45"/>
      <c r="V4" s="40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2"/>
    </row>
    <row r="5" spans="1:34" ht="24.9" customHeight="1" x14ac:dyDescent="0.2">
      <c r="A5" s="23" t="s">
        <v>22</v>
      </c>
      <c r="B5" s="11"/>
      <c r="C5" s="11"/>
      <c r="D5" s="11"/>
      <c r="E5" s="11"/>
      <c r="F5" s="11"/>
      <c r="G5" s="11"/>
      <c r="H5" s="11"/>
      <c r="I5" s="11"/>
      <c r="K5" s="11"/>
      <c r="L5" s="11"/>
      <c r="M5" s="11"/>
      <c r="N5" s="12"/>
      <c r="O5" s="12"/>
      <c r="P5" s="46" t="s">
        <v>9</v>
      </c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</row>
    <row r="6" spans="1:34" ht="19.5" customHeight="1" x14ac:dyDescent="0.2">
      <c r="A6" s="35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10"/>
      <c r="O6" s="10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</row>
    <row r="7" spans="1:34" ht="20.25" customHeight="1" x14ac:dyDescent="0.2">
      <c r="P7" s="42" t="s">
        <v>4</v>
      </c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</row>
    <row r="8" spans="1:34" ht="24.9" customHeight="1" x14ac:dyDescent="0.2">
      <c r="A8" s="39" t="s">
        <v>17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P8" s="42" t="s">
        <v>11</v>
      </c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2"/>
    </row>
    <row r="9" spans="1:34" ht="18.75" customHeight="1" x14ac:dyDescent="0.2">
      <c r="A9" s="39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/>
      <c r="N9"/>
      <c r="O9"/>
      <c r="P9"/>
      <c r="Q9"/>
      <c r="R9"/>
    </row>
    <row r="10" spans="1:34" ht="15" customHeight="1" x14ac:dyDescent="0.2"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</row>
    <row r="11" spans="1:34" ht="30" customHeight="1" x14ac:dyDescent="0.2">
      <c r="A11" s="36" t="s">
        <v>8</v>
      </c>
      <c r="B11" s="36"/>
      <c r="C11" s="36"/>
      <c r="D11" s="36"/>
      <c r="E11" s="36"/>
      <c r="F11" s="36"/>
      <c r="G11" s="37"/>
      <c r="H11" s="38">
        <f>W18</f>
        <v>42840</v>
      </c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</row>
    <row r="12" spans="1:34" ht="30" customHeight="1" x14ac:dyDescent="0.2">
      <c r="A12" s="27" t="s">
        <v>12</v>
      </c>
      <c r="B12" s="27"/>
      <c r="C12" s="27"/>
      <c r="D12" s="27"/>
      <c r="E12" s="27"/>
      <c r="F12" s="27"/>
      <c r="G12" s="28"/>
      <c r="H12" s="24" t="s">
        <v>18</v>
      </c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</row>
    <row r="13" spans="1:34" ht="30" customHeight="1" x14ac:dyDescent="0.2">
      <c r="A13" s="27" t="s">
        <v>10</v>
      </c>
      <c r="B13" s="27"/>
      <c r="C13" s="27"/>
      <c r="D13" s="27"/>
      <c r="E13" s="27"/>
      <c r="F13" s="27"/>
      <c r="G13" s="28"/>
      <c r="H13" s="24" t="s">
        <v>19</v>
      </c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"/>
      <c r="V13" s="6"/>
      <c r="W13" s="7"/>
      <c r="X13" s="29"/>
      <c r="Y13" s="29"/>
      <c r="Z13" s="29"/>
      <c r="AA13" s="29"/>
      <c r="AB13" s="29"/>
      <c r="AC13" s="29"/>
      <c r="AD13" s="29"/>
      <c r="AG13" s="2"/>
    </row>
    <row r="14" spans="1:34" ht="15" customHeight="1" thickBot="1" x14ac:dyDescent="0.25"/>
    <row r="15" spans="1:34" ht="24.9" customHeight="1" x14ac:dyDescent="0.2">
      <c r="A15" s="30" t="s">
        <v>6</v>
      </c>
      <c r="B15" s="25"/>
      <c r="C15" s="25"/>
      <c r="D15" s="25"/>
      <c r="E15" s="25"/>
      <c r="F15" s="25"/>
      <c r="G15" s="25"/>
      <c r="H15" s="25"/>
      <c r="I15" s="25"/>
      <c r="J15" s="25"/>
      <c r="K15" s="31"/>
      <c r="L15" s="31"/>
      <c r="M15" s="31"/>
      <c r="N15" s="31"/>
      <c r="O15" s="31"/>
      <c r="P15" s="31"/>
      <c r="Q15" s="25" t="s">
        <v>1</v>
      </c>
      <c r="R15" s="25"/>
      <c r="S15" s="25"/>
      <c r="T15" s="25" t="s">
        <v>2</v>
      </c>
      <c r="U15" s="25"/>
      <c r="V15" s="25"/>
      <c r="W15" s="31" t="s">
        <v>5</v>
      </c>
      <c r="X15" s="25"/>
      <c r="Y15" s="25"/>
      <c r="Z15" s="25"/>
      <c r="AA15" s="25"/>
      <c r="AB15" s="25" t="s">
        <v>0</v>
      </c>
      <c r="AC15" s="25"/>
      <c r="AD15" s="25"/>
      <c r="AE15" s="25"/>
      <c r="AF15" s="25"/>
      <c r="AG15" s="26"/>
    </row>
    <row r="16" spans="1:34" ht="36" customHeight="1" x14ac:dyDescent="0.2">
      <c r="A16" s="65" t="s">
        <v>20</v>
      </c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7">
        <v>357</v>
      </c>
      <c r="R16" s="67"/>
      <c r="S16" s="67"/>
      <c r="T16" s="68">
        <v>120</v>
      </c>
      <c r="U16" s="68"/>
      <c r="V16" s="68"/>
      <c r="W16" s="69">
        <f t="shared" ref="W16" si="0">Q16*T16</f>
        <v>42840</v>
      </c>
      <c r="X16" s="69"/>
      <c r="Y16" s="69"/>
      <c r="Z16" s="69"/>
      <c r="AA16" s="69"/>
      <c r="AB16" s="70"/>
      <c r="AC16" s="70"/>
      <c r="AD16" s="70"/>
      <c r="AE16" s="70"/>
      <c r="AF16" s="70"/>
      <c r="AG16" s="71"/>
    </row>
    <row r="17" spans="1:33" ht="36" customHeight="1" thickBot="1" x14ac:dyDescent="0.25">
      <c r="A17" s="55" t="s">
        <v>13</v>
      </c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7"/>
      <c r="Q17" s="58"/>
      <c r="R17" s="56"/>
      <c r="S17" s="57"/>
      <c r="T17" s="59"/>
      <c r="U17" s="60"/>
      <c r="V17" s="61"/>
      <c r="W17" s="62" t="s">
        <v>16</v>
      </c>
      <c r="X17" s="63"/>
      <c r="Y17" s="63"/>
      <c r="Z17" s="63"/>
      <c r="AA17" s="64"/>
      <c r="AB17" s="47"/>
      <c r="AC17" s="48"/>
      <c r="AD17" s="48"/>
      <c r="AE17" s="48"/>
      <c r="AF17" s="48"/>
      <c r="AG17" s="49"/>
    </row>
    <row r="18" spans="1:33" ht="36" customHeight="1" thickTop="1" x14ac:dyDescent="0.2">
      <c r="A18" s="51" t="s">
        <v>7</v>
      </c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3"/>
      <c r="U18" s="53"/>
      <c r="V18" s="53"/>
      <c r="W18" s="54">
        <f>SUM(W16:Z17)</f>
        <v>42840</v>
      </c>
      <c r="X18" s="54"/>
      <c r="Y18" s="54"/>
      <c r="Z18" s="54"/>
      <c r="AA18" s="22"/>
      <c r="AB18" s="50"/>
      <c r="AC18" s="50"/>
      <c r="AD18" s="50"/>
      <c r="AE18" s="50"/>
      <c r="AF18" s="50"/>
      <c r="AG18" s="52"/>
    </row>
    <row r="19" spans="1:33" ht="24.9" customHeight="1" x14ac:dyDescent="0.2">
      <c r="A19" s="13" t="s">
        <v>3</v>
      </c>
      <c r="B19" s="5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14"/>
    </row>
    <row r="20" spans="1:33" ht="24.9" customHeight="1" x14ac:dyDescent="0.2">
      <c r="A20" s="20"/>
      <c r="B20" s="1" t="s">
        <v>15</v>
      </c>
      <c r="F20" s="19"/>
      <c r="AG20" s="21"/>
    </row>
    <row r="21" spans="1:33" ht="24.9" customHeight="1" thickBot="1" x14ac:dyDescent="0.25">
      <c r="A21" s="15"/>
      <c r="B21" s="16" t="s">
        <v>14</v>
      </c>
      <c r="C21" s="16"/>
      <c r="D21" s="16"/>
      <c r="E21" s="16"/>
      <c r="F21" s="18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7"/>
    </row>
  </sheetData>
  <mergeCells count="37">
    <mergeCell ref="A16:P16"/>
    <mergeCell ref="Q16:S16"/>
    <mergeCell ref="T16:V16"/>
    <mergeCell ref="W16:AA16"/>
    <mergeCell ref="AB16:AG16"/>
    <mergeCell ref="AB17:AG17"/>
    <mergeCell ref="Q18:S18"/>
    <mergeCell ref="A18:P18"/>
    <mergeCell ref="AB18:AG18"/>
    <mergeCell ref="T18:V18"/>
    <mergeCell ref="W18:Z18"/>
    <mergeCell ref="A17:P17"/>
    <mergeCell ref="Q17:S17"/>
    <mergeCell ref="T17:V17"/>
    <mergeCell ref="W17:AA17"/>
    <mergeCell ref="V1:AG1"/>
    <mergeCell ref="A2:AG2"/>
    <mergeCell ref="A6:M6"/>
    <mergeCell ref="A11:G11"/>
    <mergeCell ref="H11:T11"/>
    <mergeCell ref="A8:L9"/>
    <mergeCell ref="V4:AG4"/>
    <mergeCell ref="P8:AD8"/>
    <mergeCell ref="A4:P4"/>
    <mergeCell ref="S4:U4"/>
    <mergeCell ref="P5:AF6"/>
    <mergeCell ref="P7:AF7"/>
    <mergeCell ref="H12:T12"/>
    <mergeCell ref="AB15:AG15"/>
    <mergeCell ref="A13:G13"/>
    <mergeCell ref="A12:G12"/>
    <mergeCell ref="X13:AD13"/>
    <mergeCell ref="A15:P15"/>
    <mergeCell ref="Q15:S15"/>
    <mergeCell ref="T15:V15"/>
    <mergeCell ref="H13:T13"/>
    <mergeCell ref="W15:AA15"/>
  </mergeCells>
  <phoneticPr fontId="2"/>
  <dataValidations count="2">
    <dataValidation imeMode="off" allowBlank="1" showInputMessage="1" showErrorMessage="1" sqref="H11:T11 W13:AD13 Q16:S18 W16:AA17" xr:uid="{00000000-0002-0000-0000-000000000000}"/>
    <dataValidation imeMode="on" allowBlank="1" showInputMessage="1" showErrorMessage="1" sqref="Q4 P5 V4 A4:A6 H12:H13 B4:O4 A5:I5 K5:M5 A16:J18 AB16:AG18 T16:T18" xr:uid="{00000000-0002-0000-0000-000001000000}"/>
  </dataValidations>
  <pageMargins left="0.25" right="0.25" top="0.75" bottom="0.75" header="0.3" footer="0.3"/>
  <pageSetup paperSize="11" scale="67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kawahara</dc:creator>
  <cp:lastModifiedBy>kawahara shoichiro</cp:lastModifiedBy>
  <cp:lastPrinted>2026-05-14T07:09:52Z</cp:lastPrinted>
  <dcterms:created xsi:type="dcterms:W3CDTF">2010-09-12T02:40:12Z</dcterms:created>
  <dcterms:modified xsi:type="dcterms:W3CDTF">2026-05-14T07:09:54Z</dcterms:modified>
</cp:coreProperties>
</file>